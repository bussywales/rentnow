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aseline Valuation" sheetId="2" state="visible" r:id="rId2"/>
    <sheet name="Weekly Increments" sheetId="3" state="visible" r:id="rId3"/>
    <sheet name="Cumulative Totals" sheetId="4" state="visible" r:id="rId4"/>
    <sheet name="Workstream Log" sheetId="5" state="visible" r:id="rId5"/>
    <sheet name="Notes &amp; Confidence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£#,##0;[Red](£#,##0);-"/>
    <numFmt numFmtId="166" formatCode="#,##0.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FF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F3FF"/>
      </patternFill>
    </fill>
    <fill>
      <patternFill patternType="solid">
        <fgColor rgb="00FFF3C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3" fillId="4" borderId="0" pivotButton="0" quotePrefix="0" xfId="0"/>
    <xf numFmtId="164" fontId="0" fillId="0" borderId="0" pivotButton="0" quotePrefix="0" xfId="0"/>
    <xf numFmtId="0" fontId="0" fillId="5" borderId="0" applyAlignment="1" pivotButton="0" quotePrefix="0" xfId="0">
      <alignment vertical="top" wrapText="1"/>
    </xf>
    <xf numFmtId="3" fontId="3" fillId="4" borderId="0" pivotButton="0" quotePrefix="0" xfId="0"/>
    <xf numFmtId="165" fontId="3" fillId="4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166" fontId="0" fillId="4" borderId="0" pivotButton="0" quotePrefix="0" xfId="0"/>
    <xf numFmtId="166" fontId="0" fillId="7" borderId="0" pivotButton="0" quotePrefix="0" xfId="0"/>
    <xf numFmtId="165" fontId="0" fillId="7" borderId="0" pivotButton="0" quotePrefix="0" xfId="0"/>
    <xf numFmtId="164" fontId="4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166" fontId="4" fillId="6" borderId="1" pivotButton="0" quotePrefix="0" xfId="0"/>
    <xf numFmtId="165" fontId="4" fillId="8" borderId="1" pivotButton="0" quotePrefix="0" xfId="0"/>
    <xf numFmtId="16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6" fontId="0" fillId="4" borderId="0" applyAlignment="1" pivotButton="0" quotePrefix="0" xfId="0">
      <alignment vertical="top" wrapText="1"/>
    </xf>
    <xf numFmtId="165" fontId="0" fillId="7" borderId="0" applyAlignment="1" pivotButton="0" quotePrefix="0" xfId="0">
      <alignment vertical="top" wrapText="1"/>
    </xf>
    <xf numFmtId="0" fontId="5" fillId="0" borderId="0" pivotButton="0" quotePrefix="0" xfId="0"/>
    <xf numFmtId="0" fontId="4" fillId="6" borderId="0" pivotButton="0" quotePrefix="0" xfId="0"/>
    <xf numFmtId="165" fontId="1" fillId="2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H2" authorId="0" shapeId="0">
      <text>
        <t>/Users/olubusayoadewale/rentnow/docs/product/BUILD_COST_BASELINE_REPORT_2026-03-21.md</t>
      </text>
    </comment>
    <comment ref="H3" authorId="0" shapeId="0">
      <text>
        <t>/Users/olubusayoadewale/rentnow/docs/product/BUILD_COST_BASELINE_REPORT_2026-03-21.md</t>
      </text>
    </comment>
    <comment ref="H4" authorId="0" shapeId="0">
      <text>
        <t>/Users/olubusayoadewale/rentnow/docs/product/BUILD_COST_VALUATION_METHOD.md</t>
      </text>
    </comment>
    <comment ref="H5" authorId="0" shapeId="0">
      <text>
        <t>https://www.morganmckinley.com/uk/salary-guide/technology/contract-salaries</t>
      </text>
    </comment>
    <comment ref="H6" authorId="0" shapeId="0">
      <text>
        <t>https://www.contractoruk.com/market_rates</t>
      </text>
    </comment>
    <comment ref="H7" authorId="0" shapeId="0">
      <text>
        <t>https://www.reed.com/tools/technology-salary-guide-2026</t>
      </text>
    </comment>
    <comment ref="H8" authorId="0" shapeId="0">
      <text>
        <t>/Users/olubusayoadewale/rentnow/docs/product/BUILD_COST_BASELINE_REPORT_2026-03-21.md</t>
      </text>
    </comment>
    <comment ref="H9" authorId="0" shapeId="0">
      <text>
        <t>/Users/olubusayoadewale/rentnow/docs/product/BUILD_COST_BASELINE_REPORT_2026-03-21.md</t>
      </text>
    </comment>
    <comment ref="H10" authorId="0" shapeId="0">
      <text>
        <t>/Users/olubusayoadewale/rentnow/docs/product/BUILD_COST_BASELINE_REPORT_2026-03-21.md</t>
      </text>
    </comment>
    <comment ref="H11" authorId="0" shapeId="0">
      <text>
        <t>/Users/olubusayoadewale/rentnow/docs/product/BUILD_COST_BASELINE_REPORT_2026-03-21.md</t>
      </text>
    </comment>
    <comment ref="H12" authorId="0" shapeId="0">
      <text>
        <t>/Users/olubusayoadewale/rentnow/docs/product/BUILD_COST_BASELINE_REPORT_2026-03-21.md</t>
      </text>
    </comment>
    <comment ref="H13" authorId="0" shapeId="0">
      <text>
        <t>/Users/olubusayoadewale/rentnow/docs/product/BUILD_COST_BASELINE_REPORT_2026-03-21.md</t>
      </text>
    </comment>
    <comment ref="H14" authorId="0" shapeId="0">
      <text>
        <t>/Users/olubusayoadewale/rentnow/docs/product/BUILD_COST_BASELINE_REPORT_2026-03-21.md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2" customWidth="1" min="7" max="7"/>
    <col width="58" customWidth="1" min="8" max="8"/>
    <col width="14" customWidth="1" min="9" max="9"/>
    <col width="14" customWidth="1" min="10" max="10"/>
    <col width="12" customWidth="1" min="11" max="11"/>
    <col width="48" customWidth="1" min="12" max="12"/>
  </cols>
  <sheetData>
    <row r="1">
      <c r="A1" s="1" t="inlineStr">
        <is>
          <t>assumption_key</t>
        </is>
      </c>
      <c r="B1" s="1" t="inlineStr">
        <is>
          <t>category</t>
        </is>
      </c>
      <c r="C1" s="1" t="inlineStr">
        <is>
          <t>lens</t>
        </is>
      </c>
      <c r="D1" s="1" t="inlineStr">
        <is>
          <t>value_low</t>
        </is>
      </c>
      <c r="E1" s="1" t="inlineStr">
        <is>
          <t>value_base</t>
        </is>
      </c>
      <c r="F1" s="1" t="inlineStr">
        <is>
          <t>value_high</t>
        </is>
      </c>
      <c r="G1" s="1" t="inlineStr">
        <is>
          <t>unit</t>
        </is>
      </c>
      <c r="H1" s="1" t="inlineStr">
        <is>
          <t>source_url</t>
        </is>
      </c>
      <c r="I1" s="1" t="inlineStr">
        <is>
          <t>source_type</t>
        </is>
      </c>
      <c r="J1" s="1" t="inlineStr">
        <is>
          <t>reviewed_at</t>
        </is>
      </c>
      <c r="K1" s="1" t="inlineStr">
        <is>
          <t>owner</t>
        </is>
      </c>
      <c r="L1" s="1" t="inlineStr">
        <is>
          <t>notes</t>
        </is>
      </c>
    </row>
    <row r="2">
      <c r="A2" s="2" t="inlineStr">
        <is>
          <t>build_start_date</t>
        </is>
      </c>
      <c r="B2" t="inlineStr">
        <is>
          <t>timeline</t>
        </is>
      </c>
      <c r="C2" t="inlineStr">
        <is>
          <t>all</t>
        </is>
      </c>
      <c r="D2" s="3" t="n">
        <v>45993</v>
      </c>
      <c r="E2" s="3" t="n">
        <v>45993</v>
      </c>
      <c r="F2" s="3" t="n">
        <v>45993</v>
      </c>
      <c r="G2" t="inlineStr">
        <is>
          <t>date</t>
        </is>
      </c>
      <c r="H2" t="inlineStr">
        <is>
          <t>/Users/olubusayoadewale/rentnow/docs/product/BUILD_COST_BASELINE_REPORT_2026-03-21.md</t>
        </is>
      </c>
      <c r="I2" t="inlineStr">
        <is>
          <t>repo_doc</t>
        </is>
      </c>
      <c r="J2" s="4" t="n">
        <v>46102</v>
      </c>
      <c r="K2" t="inlineStr">
        <is>
          <t>Codex</t>
        </is>
      </c>
      <c r="L2" s="5" t="inlineStr">
        <is>
          <t>Fixed build start date for the baseline model.</t>
        </is>
      </c>
    </row>
    <row r="3">
      <c r="A3" s="2" t="inlineStr">
        <is>
          <t>baseline_snapshot_date</t>
        </is>
      </c>
      <c r="B3" t="inlineStr">
        <is>
          <t>timeline</t>
        </is>
      </c>
      <c r="C3" t="inlineStr">
        <is>
          <t>all</t>
        </is>
      </c>
      <c r="D3" s="3" t="n">
        <v>46102</v>
      </c>
      <c r="E3" s="3" t="n">
        <v>46102</v>
      </c>
      <c r="F3" s="3" t="n">
        <v>46102</v>
      </c>
      <c r="G3" t="inlineStr">
        <is>
          <t>date</t>
        </is>
      </c>
      <c r="H3" t="inlineStr">
        <is>
          <t>/Users/olubusayoadewale/rentnow/docs/product/BUILD_COST_BASELINE_REPORT_2026-03-21.md</t>
        </is>
      </c>
      <c r="I3" t="inlineStr">
        <is>
          <t>repo_doc</t>
        </is>
      </c>
      <c r="J3" s="4" t="n">
        <v>46102</v>
      </c>
      <c r="K3" t="inlineStr">
        <is>
          <t>Codex</t>
        </is>
      </c>
      <c r="L3" s="5" t="inlineStr">
        <is>
          <t>Snapshot date for the seeded baseline workbook.</t>
        </is>
      </c>
    </row>
    <row r="4">
      <c r="A4" s="2" t="inlineStr">
        <is>
          <t>person_days_per_week</t>
        </is>
      </c>
      <c r="B4" t="inlineStr">
        <is>
          <t>model</t>
        </is>
      </c>
      <c r="C4" t="inlineStr">
        <is>
          <t>all</t>
        </is>
      </c>
      <c r="D4" s="6" t="n">
        <v>5</v>
      </c>
      <c r="E4" s="6" t="n">
        <v>5</v>
      </c>
      <c r="F4" s="6" t="n">
        <v>5</v>
      </c>
      <c r="G4" t="inlineStr">
        <is>
          <t>days</t>
        </is>
      </c>
      <c r="H4" t="inlineStr">
        <is>
          <t>/Users/olubusayoadewale/rentnow/docs/product/BUILD_COST_VALUATION_METHOD.md</t>
        </is>
      </c>
      <c r="I4" t="inlineStr">
        <is>
          <t>repo_doc</t>
        </is>
      </c>
      <c r="J4" s="4" t="n">
        <v>46102</v>
      </c>
      <c r="K4" t="inlineStr">
        <is>
          <t>Codex</t>
        </is>
      </c>
      <c r="L4" s="5" t="inlineStr">
        <is>
          <t>Model converts person-weeks to person-days using a 5 billable day week.</t>
        </is>
      </c>
    </row>
    <row r="5">
      <c r="A5" s="2" t="inlineStr">
        <is>
          <t>lean_blended_day_rate</t>
        </is>
      </c>
      <c r="B5" t="inlineStr">
        <is>
          <t>rate</t>
        </is>
      </c>
      <c r="C5" t="inlineStr">
        <is>
          <t>lean / low-cost</t>
        </is>
      </c>
      <c r="D5" s="7" t="n">
        <v>285</v>
      </c>
      <c r="E5" s="7" t="n">
        <v>310</v>
      </c>
      <c r="F5" s="7" t="n">
        <v>353</v>
      </c>
      <c r="G5" t="inlineStr">
        <is>
          <t>GBP/day</t>
        </is>
      </c>
      <c r="H5" t="inlineStr">
        <is>
          <t>https://www.morganmckinley.com/uk/salary-guide/technology/contract-salaries</t>
        </is>
      </c>
      <c r="I5" t="inlineStr">
        <is>
          <t>market_anchor</t>
        </is>
      </c>
      <c r="J5" s="4" t="n">
        <v>46102</v>
      </c>
      <c r="K5" t="inlineStr">
        <is>
          <t>Codex</t>
        </is>
      </c>
      <c r="L5" s="5" t="inlineStr">
        <is>
          <t>Blended rate tuned to match the documented lean range across 600 to 850 person-days.</t>
        </is>
      </c>
    </row>
    <row r="6">
      <c r="A6" s="2" t="inlineStr">
        <is>
          <t>mixed_blended_day_rate</t>
        </is>
      </c>
      <c r="B6" t="inlineStr">
        <is>
          <t>rate</t>
        </is>
      </c>
      <c r="C6" t="inlineStr">
        <is>
          <t>realistic mixed-seniority</t>
        </is>
      </c>
      <c r="D6" s="7" t="n">
        <v>535</v>
      </c>
      <c r="E6" s="7" t="n">
        <v>565</v>
      </c>
      <c r="F6" s="7" t="n">
        <v>612</v>
      </c>
      <c r="G6" t="inlineStr">
        <is>
          <t>GBP/day</t>
        </is>
      </c>
      <c r="H6" t="inlineStr">
        <is>
          <t>https://www.contractoruk.com/market_rates</t>
        </is>
      </c>
      <c r="I6" t="inlineStr">
        <is>
          <t>market_anchor</t>
        </is>
      </c>
      <c r="J6" s="4" t="n">
        <v>46102</v>
      </c>
      <c r="K6" t="inlineStr">
        <is>
          <t>Codex</t>
        </is>
      </c>
      <c r="L6" s="5" t="inlineStr">
        <is>
          <t>Most believable central lens. Base rate aligns with the ~£410,000 working figure.</t>
        </is>
      </c>
    </row>
    <row r="7">
      <c r="A7" s="2" t="inlineStr">
        <is>
          <t>agency_blended_day_rate</t>
        </is>
      </c>
      <c r="B7" t="inlineStr">
        <is>
          <t>rate</t>
        </is>
      </c>
      <c r="C7" t="inlineStr">
        <is>
          <t>premium / agency</t>
        </is>
      </c>
      <c r="D7" s="7" t="n">
        <v>867</v>
      </c>
      <c r="E7" s="7" t="n">
        <v>960</v>
      </c>
      <c r="F7" s="7" t="n">
        <v>1118</v>
      </c>
      <c r="G7" t="inlineStr">
        <is>
          <t>GBP/day</t>
        </is>
      </c>
      <c r="H7" t="inlineStr">
        <is>
          <t>https://www.reed.com/tools/technology-salary-guide-2026</t>
        </is>
      </c>
      <c r="I7" t="inlineStr">
        <is>
          <t>market_anchor</t>
        </is>
      </c>
      <c r="J7" s="4" t="n">
        <v>46102</v>
      </c>
      <c r="K7" t="inlineStr">
        <is>
          <t>Codex</t>
        </is>
      </c>
      <c r="L7" s="5" t="inlineStr">
        <is>
          <t>Agency-equivalent blended delivery rate including margin and delivery overhead.</t>
        </is>
      </c>
    </row>
    <row r="8">
      <c r="A8" s="2" t="inlineStr">
        <is>
          <t>lean_monthly_continuation</t>
        </is>
      </c>
      <c r="B8" t="inlineStr">
        <is>
          <t>continuation</t>
        </is>
      </c>
      <c r="C8" t="inlineStr">
        <is>
          <t>lean / low-cost</t>
        </is>
      </c>
      <c r="D8" s="7" t="n">
        <v>18000</v>
      </c>
      <c r="E8" s="7" t="n">
        <v>24000</v>
      </c>
      <c r="F8" s="7" t="n">
        <v>30000</v>
      </c>
      <c r="G8" t="inlineStr">
        <is>
          <t>GBP/month</t>
        </is>
      </c>
      <c r="H8" t="inlineStr">
        <is>
          <t>/Users/olubusayoadewale/rentnow/docs/product/BUILD_COST_BASELINE_REPORT_2026-03-21.md</t>
        </is>
      </c>
      <c r="I8" t="inlineStr">
        <is>
          <t>repo_doc</t>
        </is>
      </c>
      <c r="J8" s="4" t="n">
        <v>46102</v>
      </c>
      <c r="K8" t="inlineStr">
        <is>
          <t>Codex</t>
        </is>
      </c>
      <c r="L8" s="5" t="inlineStr">
        <is>
          <t>Lean retained specialist continuation range.</t>
        </is>
      </c>
    </row>
    <row r="9">
      <c r="A9" s="2" t="inlineStr">
        <is>
          <t>mixed_monthly_continuation</t>
        </is>
      </c>
      <c r="B9" t="inlineStr">
        <is>
          <t>continuation</t>
        </is>
      </c>
      <c r="C9" t="inlineStr">
        <is>
          <t>realistic mixed-seniority</t>
        </is>
      </c>
      <c r="D9" s="7" t="n">
        <v>35000</v>
      </c>
      <c r="E9" s="7" t="n">
        <v>50000</v>
      </c>
      <c r="F9" s="7" t="n">
        <v>65000</v>
      </c>
      <c r="G9" t="inlineStr">
        <is>
          <t>GBP/month</t>
        </is>
      </c>
      <c r="H9" t="inlineStr">
        <is>
          <t>/Users/olubusayoadewale/rentnow/docs/product/BUILD_COST_BASELINE_REPORT_2026-03-21.md</t>
        </is>
      </c>
      <c r="I9" t="inlineStr">
        <is>
          <t>repo_doc</t>
        </is>
      </c>
      <c r="J9" s="4" t="n">
        <v>46102</v>
      </c>
      <c r="K9" t="inlineStr">
        <is>
          <t>Codex</t>
        </is>
      </c>
      <c r="L9" s="5" t="inlineStr">
        <is>
          <t>Product-team continuation range.</t>
        </is>
      </c>
    </row>
    <row r="10">
      <c r="A10" s="2" t="inlineStr">
        <is>
          <t>agency_monthly_continuation</t>
        </is>
      </c>
      <c r="B10" t="inlineStr">
        <is>
          <t>continuation</t>
        </is>
      </c>
      <c r="C10" t="inlineStr">
        <is>
          <t>premium / agency</t>
        </is>
      </c>
      <c r="D10" s="7" t="n">
        <v>70000</v>
      </c>
      <c r="E10" s="7" t="n">
        <v>105000</v>
      </c>
      <c r="F10" s="7" t="n">
        <v>140000</v>
      </c>
      <c r="G10" t="inlineStr">
        <is>
          <t>GBP/month</t>
        </is>
      </c>
      <c r="H10" t="inlineStr">
        <is>
          <t>/Users/olubusayoadewale/rentnow/docs/product/BUILD_COST_BASELINE_REPORT_2026-03-21.md</t>
        </is>
      </c>
      <c r="I10" t="inlineStr">
        <is>
          <t>repo_doc</t>
        </is>
      </c>
      <c r="J10" s="4" t="n">
        <v>46102</v>
      </c>
      <c r="K10" t="inlineStr">
        <is>
          <t>Codex</t>
        </is>
      </c>
      <c r="L10" s="5" t="inlineStr">
        <is>
          <t>Serious agency or retained squad continuation range.</t>
        </is>
      </c>
    </row>
    <row r="11">
      <c r="A11" s="2" t="inlineStr">
        <is>
          <t>central_working_figure</t>
        </is>
      </c>
      <c r="B11" t="inlineStr">
        <is>
          <t>valuation</t>
        </is>
      </c>
      <c r="C11" t="inlineStr">
        <is>
          <t>realistic mixed-seniority</t>
        </is>
      </c>
      <c r="D11" s="7" t="n">
        <v>410000</v>
      </c>
      <c r="E11" s="7" t="n">
        <v>410000</v>
      </c>
      <c r="F11" s="7" t="n">
        <v>410000</v>
      </c>
      <c r="G11" t="inlineStr">
        <is>
          <t>GBP</t>
        </is>
      </c>
      <c r="H11" t="inlineStr">
        <is>
          <t>/Users/olubusayoadewale/rentnow/docs/product/BUILD_COST_BASELINE_REPORT_2026-03-21.md</t>
        </is>
      </c>
      <c r="I11" t="inlineStr">
        <is>
          <t>repo_doc</t>
        </is>
      </c>
      <c r="J11" s="4" t="n">
        <v>46102</v>
      </c>
      <c r="K11" t="inlineStr">
        <is>
          <t>Codex</t>
        </is>
      </c>
      <c r="L11" s="5" t="inlineStr">
        <is>
          <t>Documented central working figure for stakeholder use.</t>
        </is>
      </c>
    </row>
    <row r="12">
      <c r="A12" s="2" t="inlineStr">
        <is>
          <t>lean_total_range</t>
        </is>
      </c>
      <c r="B12" t="inlineStr">
        <is>
          <t>valuation</t>
        </is>
      </c>
      <c r="C12" t="inlineStr">
        <is>
          <t>lean / low-cost</t>
        </is>
      </c>
      <c r="D12" s="7" t="n">
        <v>170000</v>
      </c>
      <c r="E12" s="7" t="n">
        <v>224750</v>
      </c>
      <c r="F12" s="7" t="n">
        <v>300000</v>
      </c>
      <c r="G12" t="inlineStr">
        <is>
          <t>GBP</t>
        </is>
      </c>
      <c r="H12" t="inlineStr">
        <is>
          <t>/Users/olubusayoadewale/rentnow/docs/product/BUILD_COST_BASELINE_REPORT_2026-03-21.md</t>
        </is>
      </c>
      <c r="I12" t="inlineStr">
        <is>
          <t>repo_doc</t>
        </is>
      </c>
      <c r="J12" s="4" t="n">
        <v>46102</v>
      </c>
      <c r="K12" t="inlineStr">
        <is>
          <t>Codex</t>
        </is>
      </c>
      <c r="L12" s="5" t="inlineStr">
        <is>
          <t>Seeded workbook totals should remain inside the documented lean range.</t>
        </is>
      </c>
    </row>
    <row r="13">
      <c r="A13" s="2" t="inlineStr">
        <is>
          <t>mixed_total_range</t>
        </is>
      </c>
      <c r="B13" t="inlineStr">
        <is>
          <t>valuation</t>
        </is>
      </c>
      <c r="C13" t="inlineStr">
        <is>
          <t>realistic mixed-seniority</t>
        </is>
      </c>
      <c r="D13" s="7" t="n">
        <v>320000</v>
      </c>
      <c r="E13" s="7" t="n">
        <v>410000</v>
      </c>
      <c r="F13" s="7" t="n">
        <v>520000</v>
      </c>
      <c r="G13" t="inlineStr">
        <is>
          <t>GBP</t>
        </is>
      </c>
      <c r="H13" t="inlineStr">
        <is>
          <t>/Users/olubusayoadewale/rentnow/docs/product/BUILD_COST_BASELINE_REPORT_2026-03-21.md</t>
        </is>
      </c>
      <c r="I13" t="inlineStr">
        <is>
          <t>repo_doc</t>
        </is>
      </c>
      <c r="J13" s="4" t="n">
        <v>46102</v>
      </c>
      <c r="K13" t="inlineStr">
        <is>
          <t>Codex</t>
        </is>
      </c>
      <c r="L13" s="5" t="inlineStr">
        <is>
          <t>Seeded workbook totals should remain inside the documented mixed range.</t>
        </is>
      </c>
    </row>
    <row r="14">
      <c r="A14" s="2" t="inlineStr">
        <is>
          <t>agency_total_range</t>
        </is>
      </c>
      <c r="B14" t="inlineStr">
        <is>
          <t>valuation</t>
        </is>
      </c>
      <c r="C14" t="inlineStr">
        <is>
          <t>premium / agency</t>
        </is>
      </c>
      <c r="D14" s="7" t="n">
        <v>520000</v>
      </c>
      <c r="E14" s="7" t="n">
        <v>696000</v>
      </c>
      <c r="F14" s="7" t="n">
        <v>950000</v>
      </c>
      <c r="G14" t="inlineStr">
        <is>
          <t>GBP</t>
        </is>
      </c>
      <c r="H14" t="inlineStr">
        <is>
          <t>/Users/olubusayoadewale/rentnow/docs/product/BUILD_COST_BASELINE_REPORT_2026-03-21.md</t>
        </is>
      </c>
      <c r="I14" t="inlineStr">
        <is>
          <t>repo_doc</t>
        </is>
      </c>
      <c r="J14" s="4" t="n">
        <v>46102</v>
      </c>
      <c r="K14" t="inlineStr">
        <is>
          <t>Codex</t>
        </is>
      </c>
      <c r="L14" s="5" t="inlineStr">
        <is>
          <t>Seeded workbook totals should remain inside the documented agency range.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4" customWidth="1" min="4" max="4"/>
    <col width="5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6" customWidth="1" min="19" max="19"/>
  </cols>
  <sheetData>
    <row r="1">
      <c r="A1" s="1" t="inlineStr">
        <is>
          <t>snapshot_date</t>
        </is>
      </c>
      <c r="B1" s="1" t="inlineStr">
        <is>
          <t>build_start_date</t>
        </is>
      </c>
      <c r="C1" s="1" t="inlineStr">
        <is>
          <t>build_end_date</t>
        </is>
      </c>
      <c r="D1" s="1" t="inlineStr">
        <is>
          <t>workstream</t>
        </is>
      </c>
      <c r="E1" s="1" t="inlineStr">
        <is>
          <t>evidence_summary</t>
        </is>
      </c>
      <c r="F1" s="1" t="inlineStr">
        <is>
          <t>confidence</t>
        </is>
      </c>
      <c r="G1" s="1" t="inlineStr">
        <is>
          <t>person_weeks_low</t>
        </is>
      </c>
      <c r="H1" s="1" t="inlineStr">
        <is>
          <t>person_weeks_base</t>
        </is>
      </c>
      <c r="I1" s="1" t="inlineStr">
        <is>
          <t>person_weeks_high</t>
        </is>
      </c>
      <c r="J1" s="1" t="inlineStr">
        <is>
          <t>lean_cost_low</t>
        </is>
      </c>
      <c r="K1" s="1" t="inlineStr">
        <is>
          <t>lean_cost_base</t>
        </is>
      </c>
      <c r="L1" s="1" t="inlineStr">
        <is>
          <t>lean_cost_high</t>
        </is>
      </c>
      <c r="M1" s="1" t="inlineStr">
        <is>
          <t>mixed_cost_low</t>
        </is>
      </c>
      <c r="N1" s="1" t="inlineStr">
        <is>
          <t>mixed_cost_base</t>
        </is>
      </c>
      <c r="O1" s="1" t="inlineStr">
        <is>
          <t>mixed_cost_high</t>
        </is>
      </c>
      <c r="P1" s="1" t="inlineStr">
        <is>
          <t>agency_cost_low</t>
        </is>
      </c>
      <c r="Q1" s="1" t="inlineStr">
        <is>
          <t>agency_cost_base</t>
        </is>
      </c>
      <c r="R1" s="1" t="inlineStr">
        <is>
          <t>agency_cost_high</t>
        </is>
      </c>
      <c r="S1" s="1" t="inlineStr">
        <is>
          <t>notes</t>
        </is>
      </c>
    </row>
    <row r="2">
      <c r="A2" s="8" t="n">
        <v>46102</v>
      </c>
      <c r="B2" s="8" t="n">
        <v>45993</v>
      </c>
      <c r="C2" s="8" t="n">
        <v>46102</v>
      </c>
      <c r="D2" s="9" t="inlineStr">
        <is>
          <t>Marketplace, search, discovery, and engagement</t>
        </is>
      </c>
      <c r="E2" s="10" t="inlineStr">
        <is>
          <t>Explore, explore-v2, explore-labs, home, rails, saved, collections, trust cues, and conversion analytics.</t>
        </is>
      </c>
      <c r="F2" t="inlineStr">
        <is>
          <t>Medium</t>
        </is>
      </c>
      <c r="G2" s="11" t="n">
        <v>22</v>
      </c>
      <c r="H2" s="12">
        <f>ROUND(AVERAGE(G2:I2),1)</f>
        <v/>
      </c>
      <c r="I2" s="11" t="n">
        <v>30</v>
      </c>
      <c r="J2" s="13">
        <f>G2*Assumptions!$E$4*Assumptions!$D$5</f>
        <v/>
      </c>
      <c r="K2" s="13">
        <f>H2*Assumptions!$E$4*Assumptions!$E$5</f>
        <v/>
      </c>
      <c r="L2" s="13">
        <f>I2*Assumptions!$E$4*Assumptions!$F$5</f>
        <v/>
      </c>
      <c r="M2" s="13">
        <f>G2*Assumptions!$E$4*Assumptions!$D$6</f>
        <v/>
      </c>
      <c r="N2" s="13">
        <f>H2*Assumptions!$E$4*Assumptions!$E$6</f>
        <v/>
      </c>
      <c r="O2" s="13">
        <f>I2*Assumptions!$E$4*Assumptions!$F$6</f>
        <v/>
      </c>
      <c r="P2" s="13">
        <f>G2*Assumptions!$E$4*Assumptions!$D$7</f>
        <v/>
      </c>
      <c r="Q2" s="13">
        <f>H2*Assumptions!$E$4*Assumptions!$E$7</f>
        <v/>
      </c>
      <c r="R2" s="13">
        <f>I2*Assumptions!$E$4*Assumptions!$F$7</f>
        <v/>
      </c>
      <c r="S2" s="10" t="inlineStr">
        <is>
          <t>Seeded from the 2026-03-21 baseline report workstream ranges.</t>
        </is>
      </c>
    </row>
    <row r="3">
      <c r="A3" s="8" t="n">
        <v>46102</v>
      </c>
      <c r="B3" s="8" t="n">
        <v>45993</v>
      </c>
      <c r="C3" s="8" t="n">
        <v>46102</v>
      </c>
      <c r="D3" s="9" t="inlineStr">
        <is>
          <t>Listings, host workflows, listing quality, and media</t>
        </is>
      </c>
      <c r="E3" s="10" t="inlineStr">
        <is>
          <t>Listing create/edit/submit, quality guidance, demo controls, image/video delivery, and host properties manager.</t>
        </is>
      </c>
      <c r="F3" t="inlineStr">
        <is>
          <t>High</t>
        </is>
      </c>
      <c r="G3" s="11" t="n">
        <v>18</v>
      </c>
      <c r="H3" s="12">
        <f>ROUND(AVERAGE(G3:I3),1)</f>
        <v/>
      </c>
      <c r="I3" s="11" t="n">
        <v>24</v>
      </c>
      <c r="J3" s="13">
        <f>G3*Assumptions!$E$4*Assumptions!$D$5</f>
        <v/>
      </c>
      <c r="K3" s="13">
        <f>H3*Assumptions!$E$4*Assumptions!$E$5</f>
        <v/>
      </c>
      <c r="L3" s="13">
        <f>I3*Assumptions!$E$4*Assumptions!$F$5</f>
        <v/>
      </c>
      <c r="M3" s="13">
        <f>G3*Assumptions!$E$4*Assumptions!$D$6</f>
        <v/>
      </c>
      <c r="N3" s="13">
        <f>H3*Assumptions!$E$4*Assumptions!$E$6</f>
        <v/>
      </c>
      <c r="O3" s="13">
        <f>I3*Assumptions!$E$4*Assumptions!$F$6</f>
        <v/>
      </c>
      <c r="P3" s="13">
        <f>G3*Assumptions!$E$4*Assumptions!$D$7</f>
        <v/>
      </c>
      <c r="Q3" s="13">
        <f>H3*Assumptions!$E$4*Assumptions!$E$7</f>
        <v/>
      </c>
      <c r="R3" s="13">
        <f>I3*Assumptions!$E$4*Assumptions!$F$7</f>
        <v/>
      </c>
      <c r="S3" s="10" t="inlineStr">
        <is>
          <t>Seeded from the 2026-03-21 baseline report workstream ranges.</t>
        </is>
      </c>
    </row>
    <row r="4">
      <c r="A4" s="8" t="n">
        <v>46102</v>
      </c>
      <c r="B4" s="8" t="n">
        <v>45993</v>
      </c>
      <c r="C4" s="8" t="n">
        <v>46102</v>
      </c>
      <c r="D4" s="9" t="inlineStr">
        <is>
          <t>Property Requests demand workflow</t>
        </is>
      </c>
      <c r="E4" s="10" t="inlineStr">
        <is>
          <t>Tenant request creation, responder matching, admin registry, lifecycle management, telemetry, and notifications.</t>
        </is>
      </c>
      <c r="F4" t="inlineStr">
        <is>
          <t>High</t>
        </is>
      </c>
      <c r="G4" s="11" t="n">
        <v>10</v>
      </c>
      <c r="H4" s="12">
        <f>ROUND(AVERAGE(G4:I4),1)</f>
        <v/>
      </c>
      <c r="I4" s="11" t="n">
        <v>14</v>
      </c>
      <c r="J4" s="13">
        <f>G4*Assumptions!$E$4*Assumptions!$D$5</f>
        <v/>
      </c>
      <c r="K4" s="13">
        <f>H4*Assumptions!$E$4*Assumptions!$E$5</f>
        <v/>
      </c>
      <c r="L4" s="13">
        <f>I4*Assumptions!$E$4*Assumptions!$F$5</f>
        <v/>
      </c>
      <c r="M4" s="13">
        <f>G4*Assumptions!$E$4*Assumptions!$D$6</f>
        <v/>
      </c>
      <c r="N4" s="13">
        <f>H4*Assumptions!$E$4*Assumptions!$E$6</f>
        <v/>
      </c>
      <c r="O4" s="13">
        <f>I4*Assumptions!$E$4*Assumptions!$F$6</f>
        <v/>
      </c>
      <c r="P4" s="13">
        <f>G4*Assumptions!$E$4*Assumptions!$D$7</f>
        <v/>
      </c>
      <c r="Q4" s="13">
        <f>H4*Assumptions!$E$4*Assumptions!$E$7</f>
        <v/>
      </c>
      <c r="R4" s="13">
        <f>I4*Assumptions!$E$4*Assumptions!$F$7</f>
        <v/>
      </c>
      <c r="S4" s="10" t="inlineStr">
        <is>
          <t>Seeded from the 2026-03-21 baseline report workstream ranges.</t>
        </is>
      </c>
    </row>
    <row r="5">
      <c r="A5" s="8" t="n">
        <v>46102</v>
      </c>
      <c r="B5" s="8" t="n">
        <v>45993</v>
      </c>
      <c r="C5" s="8" t="n">
        <v>46102</v>
      </c>
      <c r="D5" s="9" t="inlineStr">
        <is>
          <t>Admin tooling, support, analytics, and operator surfaces</t>
        </is>
      </c>
      <c r="E5" s="10" t="inlineStr">
        <is>
          <t>Review desk, support inbox, analytics, diagnostics, settings, and operator-facing admin workflows.</t>
        </is>
      </c>
      <c r="F5" t="inlineStr">
        <is>
          <t>High</t>
        </is>
      </c>
      <c r="G5" s="11" t="n">
        <v>18</v>
      </c>
      <c r="H5" s="12">
        <f>ROUND(AVERAGE(G5:I5),1)</f>
        <v/>
      </c>
      <c r="I5" s="11" t="n">
        <v>26</v>
      </c>
      <c r="J5" s="13">
        <f>G5*Assumptions!$E$4*Assumptions!$D$5</f>
        <v/>
      </c>
      <c r="K5" s="13">
        <f>H5*Assumptions!$E$4*Assumptions!$E$5</f>
        <v/>
      </c>
      <c r="L5" s="13">
        <f>I5*Assumptions!$E$4*Assumptions!$F$5</f>
        <v/>
      </c>
      <c r="M5" s="13">
        <f>G5*Assumptions!$E$4*Assumptions!$D$6</f>
        <v/>
      </c>
      <c r="N5" s="13">
        <f>H5*Assumptions!$E$4*Assumptions!$E$6</f>
        <v/>
      </c>
      <c r="O5" s="13">
        <f>I5*Assumptions!$E$4*Assumptions!$F$6</f>
        <v/>
      </c>
      <c r="P5" s="13">
        <f>G5*Assumptions!$E$4*Assumptions!$D$7</f>
        <v/>
      </c>
      <c r="Q5" s="13">
        <f>H5*Assumptions!$E$4*Assumptions!$E$7</f>
        <v/>
      </c>
      <c r="R5" s="13">
        <f>I5*Assumptions!$E$4*Assumptions!$F$7</f>
        <v/>
      </c>
      <c r="S5" s="10" t="inlineStr">
        <is>
          <t>Seeded from the 2026-03-21 baseline report workstream ranges.</t>
        </is>
      </c>
    </row>
    <row r="6">
      <c r="A6" s="8" t="n">
        <v>46102</v>
      </c>
      <c r="B6" s="8" t="n">
        <v>45993</v>
      </c>
      <c r="C6" s="8" t="n">
        <v>46102</v>
      </c>
      <c r="D6" s="9" t="inlineStr">
        <is>
          <t>Billing, payments, monetisation, and cutover preparation</t>
        </is>
      </c>
      <c r="E6" s="10" t="inlineStr">
        <is>
          <t>Subscriptions, PAYG lanes, provider routing, reconcile flows, featured payments, and cutover readiness.</t>
        </is>
      </c>
      <c r="F6" t="inlineStr">
        <is>
          <t>High</t>
        </is>
      </c>
      <c r="G6" s="11" t="n">
        <v>14</v>
      </c>
      <c r="H6" s="12">
        <f>ROUND(AVERAGE(G6:I6),1)</f>
        <v/>
      </c>
      <c r="I6" s="11" t="n">
        <v>20</v>
      </c>
      <c r="J6" s="13">
        <f>G6*Assumptions!$E$4*Assumptions!$D$5</f>
        <v/>
      </c>
      <c r="K6" s="13">
        <f>H6*Assumptions!$E$4*Assumptions!$E$5</f>
        <v/>
      </c>
      <c r="L6" s="13">
        <f>I6*Assumptions!$E$4*Assumptions!$F$5</f>
        <v/>
      </c>
      <c r="M6" s="13">
        <f>G6*Assumptions!$E$4*Assumptions!$D$6</f>
        <v/>
      </c>
      <c r="N6" s="13">
        <f>H6*Assumptions!$E$4*Assumptions!$E$6</f>
        <v/>
      </c>
      <c r="O6" s="13">
        <f>I6*Assumptions!$E$4*Assumptions!$F$6</f>
        <v/>
      </c>
      <c r="P6" s="13">
        <f>G6*Assumptions!$E$4*Assumptions!$D$7</f>
        <v/>
      </c>
      <c r="Q6" s="13">
        <f>H6*Assumptions!$E$4*Assumptions!$E$7</f>
        <v/>
      </c>
      <c r="R6" s="13">
        <f>I6*Assumptions!$E$4*Assumptions!$F$7</f>
        <v/>
      </c>
      <c r="S6" s="10" t="inlineStr">
        <is>
          <t>Seeded from the 2026-03-21 baseline report workstream ranges.</t>
        </is>
      </c>
    </row>
    <row r="7">
      <c r="A7" s="8" t="n">
        <v>46102</v>
      </c>
      <c r="B7" s="8" t="n">
        <v>45993</v>
      </c>
      <c r="C7" s="8" t="n">
        <v>46102</v>
      </c>
      <c r="D7" s="9" t="inlineStr">
        <is>
          <t>Shortlets product lane</t>
        </is>
      </c>
      <c r="E7" s="10" t="inlineStr">
        <is>
          <t>Shortlet discovery, map/filter UX, bookings, checkout, payments, reminders, trips, and host ops.</t>
        </is>
      </c>
      <c r="F7" t="inlineStr">
        <is>
          <t>Medium</t>
        </is>
      </c>
      <c r="G7" s="11" t="n">
        <v>20</v>
      </c>
      <c r="H7" s="12">
        <f>ROUND(AVERAGE(G7:I7),1)</f>
        <v/>
      </c>
      <c r="I7" s="11" t="n">
        <v>28</v>
      </c>
      <c r="J7" s="13">
        <f>G7*Assumptions!$E$4*Assumptions!$D$5</f>
        <v/>
      </c>
      <c r="K7" s="13">
        <f>H7*Assumptions!$E$4*Assumptions!$E$5</f>
        <v/>
      </c>
      <c r="L7" s="13">
        <f>I7*Assumptions!$E$4*Assumptions!$F$5</f>
        <v/>
      </c>
      <c r="M7" s="13">
        <f>G7*Assumptions!$E$4*Assumptions!$D$6</f>
        <v/>
      </c>
      <c r="N7" s="13">
        <f>H7*Assumptions!$E$4*Assumptions!$E$6</f>
        <v/>
      </c>
      <c r="O7" s="13">
        <f>I7*Assumptions!$E$4*Assumptions!$F$6</f>
        <v/>
      </c>
      <c r="P7" s="13">
        <f>G7*Assumptions!$E$4*Assumptions!$D$7</f>
        <v/>
      </c>
      <c r="Q7" s="13">
        <f>H7*Assumptions!$E$4*Assumptions!$E$7</f>
        <v/>
      </c>
      <c r="R7" s="13">
        <f>I7*Assumptions!$E$4*Assumptions!$F$7</f>
        <v/>
      </c>
      <c r="S7" s="10" t="inlineStr">
        <is>
          <t>Seeded from the 2026-03-21 baseline report workstream ranges.</t>
        </is>
      </c>
    </row>
    <row r="8">
      <c r="A8" s="8" t="n">
        <v>46102</v>
      </c>
      <c r="B8" s="8" t="n">
        <v>45993</v>
      </c>
      <c r="C8" s="8" t="n">
        <v>46102</v>
      </c>
      <c r="D8" s="9" t="inlineStr">
        <is>
          <t>Docs, help, training, and admin runbooks</t>
        </is>
      </c>
      <c r="E8" s="10" t="inlineStr">
        <is>
          <t>Role help docs, admin runbooks, audit documents, and update-note discipline.</t>
        </is>
      </c>
      <c r="F8" t="inlineStr">
        <is>
          <t>High</t>
        </is>
      </c>
      <c r="G8" s="11" t="n">
        <v>6</v>
      </c>
      <c r="H8" s="12">
        <f>ROUND(AVERAGE(G8:I8),1)</f>
        <v/>
      </c>
      <c r="I8" s="11" t="n">
        <v>10</v>
      </c>
      <c r="J8" s="13">
        <f>G8*Assumptions!$E$4*Assumptions!$D$5</f>
        <v/>
      </c>
      <c r="K8" s="13">
        <f>H8*Assumptions!$E$4*Assumptions!$E$5</f>
        <v/>
      </c>
      <c r="L8" s="13">
        <f>I8*Assumptions!$E$4*Assumptions!$F$5</f>
        <v/>
      </c>
      <c r="M8" s="13">
        <f>G8*Assumptions!$E$4*Assumptions!$D$6</f>
        <v/>
      </c>
      <c r="N8" s="13">
        <f>H8*Assumptions!$E$4*Assumptions!$E$6</f>
        <v/>
      </c>
      <c r="O8" s="13">
        <f>I8*Assumptions!$E$4*Assumptions!$F$6</f>
        <v/>
      </c>
      <c r="P8" s="13">
        <f>G8*Assumptions!$E$4*Assumptions!$D$7</f>
        <v/>
      </c>
      <c r="Q8" s="13">
        <f>H8*Assumptions!$E$4*Assumptions!$E$7</f>
        <v/>
      </c>
      <c r="R8" s="13">
        <f>I8*Assumptions!$E$4*Assumptions!$F$7</f>
        <v/>
      </c>
      <c r="S8" s="10" t="inlineStr">
        <is>
          <t>Seeded from the 2026-03-21 baseline report workstream ranges.</t>
        </is>
      </c>
    </row>
    <row r="9">
      <c r="A9" s="8" t="n">
        <v>46102</v>
      </c>
      <c r="B9" s="8" t="n">
        <v>45993</v>
      </c>
      <c r="C9" s="8" t="n">
        <v>46102</v>
      </c>
      <c r="D9" s="9" t="inlineStr">
        <is>
          <t>Stability, release gates, PWA, CI, migrations, and automation ops</t>
        </is>
      </c>
      <c r="E9" s="10" t="inlineStr">
        <is>
          <t>Go-live stabilization, PWA hardening, CI/release health, migration guards, and automation ops docs.</t>
        </is>
      </c>
      <c r="F9" t="inlineStr">
        <is>
          <t>Medium</t>
        </is>
      </c>
      <c r="G9" s="11" t="n">
        <v>12</v>
      </c>
      <c r="H9" s="12">
        <f>ROUND(AVERAGE(G9:I9),1)</f>
        <v/>
      </c>
      <c r="I9" s="11" t="n">
        <v>18</v>
      </c>
      <c r="J9" s="13">
        <f>G9*Assumptions!$E$4*Assumptions!$D$5</f>
        <v/>
      </c>
      <c r="K9" s="13">
        <f>H9*Assumptions!$E$4*Assumptions!$E$5</f>
        <v/>
      </c>
      <c r="L9" s="13">
        <f>I9*Assumptions!$E$4*Assumptions!$F$5</f>
        <v/>
      </c>
      <c r="M9" s="13">
        <f>G9*Assumptions!$E$4*Assumptions!$D$6</f>
        <v/>
      </c>
      <c r="N9" s="13">
        <f>H9*Assumptions!$E$4*Assumptions!$E$6</f>
        <v/>
      </c>
      <c r="O9" s="13">
        <f>I9*Assumptions!$E$4*Assumptions!$F$6</f>
        <v/>
      </c>
      <c r="P9" s="13">
        <f>G9*Assumptions!$E$4*Assumptions!$D$7</f>
        <v/>
      </c>
      <c r="Q9" s="13">
        <f>H9*Assumptions!$E$4*Assumptions!$E$7</f>
        <v/>
      </c>
      <c r="R9" s="13">
        <f>I9*Assumptions!$E$4*Assumptions!$F$7</f>
        <v/>
      </c>
      <c r="S9" s="10" t="inlineStr">
        <is>
          <t>Seeded from the 2026-03-21 baseline report workstream ranges.</t>
        </is>
      </c>
    </row>
    <row r="10">
      <c r="A10" s="14" t="n"/>
      <c r="B10" s="14" t="n"/>
      <c r="C10" s="14" t="n"/>
      <c r="D10" s="15" t="inlineStr">
        <is>
          <t>Baseline totals</t>
        </is>
      </c>
      <c r="E10" s="16" t="inlineStr">
        <is>
          <t>Totals row sums the seeded workstream rows directly above.</t>
        </is>
      </c>
      <c r="F10" s="15" t="n"/>
      <c r="G10" s="17">
        <f>SUM(G2:G9)</f>
        <v/>
      </c>
      <c r="H10" s="17">
        <f>SUM(H2:H9)</f>
        <v/>
      </c>
      <c r="I10" s="17">
        <f>SUM(I2:I9)</f>
        <v/>
      </c>
      <c r="J10" s="18">
        <f>SUM(J2:J9)</f>
        <v/>
      </c>
      <c r="K10" s="18">
        <f>SUM(K2:K9)</f>
        <v/>
      </c>
      <c r="L10" s="18">
        <f>SUM(L2:L9)</f>
        <v/>
      </c>
      <c r="M10" s="18">
        <f>SUM(M2:M9)</f>
        <v/>
      </c>
      <c r="N10" s="18">
        <f>SUM(N2:N9)</f>
        <v/>
      </c>
      <c r="O10" s="18">
        <f>SUM(O2:O9)</f>
        <v/>
      </c>
      <c r="P10" s="18">
        <f>SUM(P2:P9)</f>
        <v/>
      </c>
      <c r="Q10" s="18">
        <f>SUM(Q2:Q9)</f>
        <v/>
      </c>
      <c r="R10" s="18">
        <f>SUM(R2:R9)</f>
        <v/>
      </c>
      <c r="S10" s="16" t="inlineStr">
        <is>
          <t>Central mixed base should sit near the documented ~£410,000 figure.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4" customWidth="1" min="9" max="9"/>
    <col width="22" customWidth="1" min="10" max="10"/>
    <col width="22" customWidth="1" min="11" max="11"/>
    <col width="42" customWidth="1" min="12" max="12"/>
    <col width="3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  <col width="18" customWidth="1" min="28" max="28"/>
    <col width="42" customWidth="1" min="29" max="29"/>
  </cols>
  <sheetData>
    <row r="1">
      <c r="A1" s="1" t="inlineStr">
        <is>
          <t>week_ending</t>
        </is>
      </c>
      <c r="B1" s="1" t="inlineStr">
        <is>
          <t>review_window_start</t>
        </is>
      </c>
      <c r="C1" s="1" t="inlineStr">
        <is>
          <t>review_window_end</t>
        </is>
      </c>
      <c r="D1" s="1" t="inlineStr">
        <is>
          <t>run_id</t>
        </is>
      </c>
      <c r="E1" s="1" t="inlineStr">
        <is>
          <t>reviewer</t>
        </is>
      </c>
      <c r="F1" s="1" t="inlineStr">
        <is>
          <t>approval_status</t>
        </is>
      </c>
      <c r="G1" s="1" t="inlineStr">
        <is>
          <t>changed_files_count</t>
        </is>
      </c>
      <c r="H1" s="1" t="inlineStr">
        <is>
          <t>commit_count</t>
        </is>
      </c>
      <c r="I1" s="1" t="inlineStr">
        <is>
          <t>update_notes_count</t>
        </is>
      </c>
      <c r="J1" s="1" t="inlineStr">
        <is>
          <t>primary_workstream</t>
        </is>
      </c>
      <c r="K1" s="1" t="inlineStr">
        <is>
          <t>secondary_workstream</t>
        </is>
      </c>
      <c r="L1" s="1" t="inlineStr">
        <is>
          <t>shipped_summary</t>
        </is>
      </c>
      <c r="M1" s="1" t="inlineStr">
        <is>
          <t>evidence_refs</t>
        </is>
      </c>
      <c r="N1" s="1" t="inlineStr">
        <is>
          <t>effort_person_days_low</t>
        </is>
      </c>
      <c r="O1" s="1" t="inlineStr">
        <is>
          <t>effort_person_days_base</t>
        </is>
      </c>
      <c r="P1" s="1" t="inlineStr">
        <is>
          <t>effort_person_days_high</t>
        </is>
      </c>
      <c r="Q1" s="1" t="inlineStr">
        <is>
          <t>role_mix_applied</t>
        </is>
      </c>
      <c r="R1" s="1" t="inlineStr">
        <is>
          <t>lean_add_low</t>
        </is>
      </c>
      <c r="S1" s="1" t="inlineStr">
        <is>
          <t>lean_add_base</t>
        </is>
      </c>
      <c r="T1" s="1" t="inlineStr">
        <is>
          <t>lean_add_high</t>
        </is>
      </c>
      <c r="U1" s="1" t="inlineStr">
        <is>
          <t>mixed_add_low</t>
        </is>
      </c>
      <c r="V1" s="1" t="inlineStr">
        <is>
          <t>mixed_add_base</t>
        </is>
      </c>
      <c r="W1" s="1" t="inlineStr">
        <is>
          <t>mixed_add_high</t>
        </is>
      </c>
      <c r="X1" s="1" t="inlineStr">
        <is>
          <t>agency_add_low</t>
        </is>
      </c>
      <c r="Y1" s="1" t="inlineStr">
        <is>
          <t>agency_add_base</t>
        </is>
      </c>
      <c r="Z1" s="1" t="inlineStr">
        <is>
          <t>agency_add_high</t>
        </is>
      </c>
      <c r="AA1" s="1" t="inlineStr">
        <is>
          <t>confidence</t>
        </is>
      </c>
      <c r="AB1" s="1" t="inlineStr">
        <is>
          <t>next_action</t>
        </is>
      </c>
      <c r="AC1" s="1" t="inlineStr">
        <is>
          <t>notes</t>
        </is>
      </c>
    </row>
    <row r="2">
      <c r="A2" s="19" t="n">
        <v>46109</v>
      </c>
      <c r="B2" s="19" t="n">
        <v>46103</v>
      </c>
      <c r="C2" s="19" t="n">
        <v>46109</v>
      </c>
      <c r="D2" s="20" t="inlineStr">
        <is>
          <t>TEMPLATE-REPLACE</t>
        </is>
      </c>
      <c r="E2" s="20" t="inlineStr">
        <is>
          <t>Reviewer name</t>
        </is>
      </c>
      <c r="F2" s="20" t="inlineStr">
        <is>
          <t>draft</t>
        </is>
      </c>
      <c r="G2" s="10" t="inlineStr"/>
      <c r="H2" s="10" t="inlineStr"/>
      <c r="I2" s="10" t="inlineStr"/>
      <c r="J2" s="20" t="inlineStr"/>
      <c r="K2" s="20" t="inlineStr"/>
      <c r="L2" s="10" t="inlineStr">
        <is>
          <t>Replace with the approved weekly shipped summary.</t>
        </is>
      </c>
      <c r="M2" s="10" t="inlineStr">
        <is>
          <t>2 to 5 evidence refs</t>
        </is>
      </c>
      <c r="N2" s="21" t="inlineStr"/>
      <c r="O2" s="21" t="inlineStr"/>
      <c r="P2" s="21" t="inlineStr"/>
      <c r="Q2" s="20" t="inlineStr">
        <is>
          <t>mixed engineering + QA + docs</t>
        </is>
      </c>
      <c r="R2" s="22">
        <f>IF(OR($N2="",$F2&lt;&gt;"approved"),"",$N2*Assumptions!$E$5)</f>
        <v/>
      </c>
      <c r="S2" s="22">
        <f>IF(OR($O2="",$F2&lt;&gt;"approved"),"",$O2*Assumptions!$E$5)</f>
        <v/>
      </c>
      <c r="T2" s="22">
        <f>IF(OR($P2="",$F2&lt;&gt;"approved"),"",$P2*Assumptions!$E$5)</f>
        <v/>
      </c>
      <c r="U2" s="22">
        <f>IF(OR($N2="",$F2&lt;&gt;"approved"),"",$N2*Assumptions!$E$6)</f>
        <v/>
      </c>
      <c r="V2" s="22">
        <f>IF(OR($O2="",$F2&lt;&gt;"approved"),"",$O2*Assumptions!$E$6)</f>
        <v/>
      </c>
      <c r="W2" s="22">
        <f>IF(OR($P2="",$F2&lt;&gt;"approved"),"",$P2*Assumptions!$E$6)</f>
        <v/>
      </c>
      <c r="X2" s="22">
        <f>IF(OR($N2="",$F2&lt;&gt;"approved"),"",$N2*Assumptions!$E$7)</f>
        <v/>
      </c>
      <c r="Y2" s="22">
        <f>IF(OR($O2="",$F2&lt;&gt;"approved"),"",$O2*Assumptions!$E$7)</f>
        <v/>
      </c>
      <c r="Z2" s="22">
        <f>IF(OR($P2="",$F2&lt;&gt;"approved"),"",$P2*Assumptions!$E$7)</f>
        <v/>
      </c>
      <c r="AA2" s="20" t="inlineStr">
        <is>
          <t>Medium</t>
        </is>
      </c>
      <c r="AB2" s="20" t="inlineStr">
        <is>
          <t>review required</t>
        </is>
      </c>
      <c r="AC2" s="20" t="inlineStr">
        <is>
          <t>Template row; copy down or replace after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2" customWidth="1" min="6" max="6"/>
  </cols>
  <sheetData>
    <row r="1">
      <c r="A1" s="23" t="inlineStr">
        <is>
          <t>Build Cost Ledger v1 - cumulative view</t>
        </is>
      </c>
    </row>
    <row r="3">
      <c r="A3" s="24" t="inlineStr">
        <is>
          <t>Baseline totals</t>
        </is>
      </c>
      <c r="F3" t="inlineStr">
        <is>
          <t>Central working figure</t>
        </is>
      </c>
    </row>
    <row r="4">
      <c r="A4" s="1" t="inlineStr">
        <is>
          <t>lens</t>
        </is>
      </c>
      <c r="B4" s="1" t="inlineStr">
        <is>
          <t>baseline_low</t>
        </is>
      </c>
      <c r="C4" s="1" t="inlineStr">
        <is>
          <t>baseline_base</t>
        </is>
      </c>
      <c r="D4" s="1" t="inlineStr">
        <is>
          <t>baseline_high</t>
        </is>
      </c>
      <c r="F4" s="25">
        <f>Assumptions!E11</f>
        <v/>
      </c>
    </row>
    <row r="5">
      <c r="A5" s="2" t="inlineStr">
        <is>
          <t>lean / low-cost</t>
        </is>
      </c>
      <c r="B5" s="13">
        <f>'Baseline Valuation'!J10</f>
        <v/>
      </c>
      <c r="C5" s="13">
        <f>'Baseline Valuation'!K10</f>
        <v/>
      </c>
      <c r="D5" s="13">
        <f>'Baseline Valuation'!L10</f>
        <v/>
      </c>
    </row>
    <row r="6">
      <c r="A6" s="2" t="inlineStr">
        <is>
          <t>realistic mixed-seniority</t>
        </is>
      </c>
      <c r="B6" s="13">
        <f>'Baseline Valuation'!M10</f>
        <v/>
      </c>
      <c r="C6" s="13">
        <f>'Baseline Valuation'!N10</f>
        <v/>
      </c>
      <c r="D6" s="13">
        <f>'Baseline Valuation'!O10</f>
        <v/>
      </c>
      <c r="F6" t="inlineStr">
        <is>
          <t>Build start date</t>
        </is>
      </c>
    </row>
    <row r="7">
      <c r="A7" s="2" t="inlineStr">
        <is>
          <t>premium / agency</t>
        </is>
      </c>
      <c r="B7" s="13">
        <f>'Baseline Valuation'!P10</f>
        <v/>
      </c>
      <c r="C7" s="13">
        <f>'Baseline Valuation'!Q10</f>
        <v/>
      </c>
      <c r="D7" s="13">
        <f>'Baseline Valuation'!R10</f>
        <v/>
      </c>
      <c r="F7" s="4">
        <f>Assumptions!E2</f>
        <v/>
      </c>
    </row>
    <row r="10">
      <c r="A10" s="24" t="inlineStr">
        <is>
          <t>Weekly additions to date</t>
        </is>
      </c>
    </row>
    <row r="11">
      <c r="A11" s="1" t="inlineStr">
        <is>
          <t>lens</t>
        </is>
      </c>
      <c r="B11" s="1" t="inlineStr">
        <is>
          <t>weekly_low_total</t>
        </is>
      </c>
      <c r="C11" s="1" t="inlineStr">
        <is>
          <t>weekly_base_total</t>
        </is>
      </c>
      <c r="D11" s="1" t="inlineStr">
        <is>
          <t>weekly_high_total</t>
        </is>
      </c>
    </row>
    <row r="12">
      <c r="A12" s="2" t="inlineStr">
        <is>
          <t>lean / low-cost</t>
        </is>
      </c>
      <c r="B12" s="13">
        <f>SUMIFS('Weekly Increments'!$R:$R,'Weekly Increments'!$F:$F,"approved")</f>
        <v/>
      </c>
      <c r="C12" s="13">
        <f>SUMIFS('Weekly Increments'!$S:$S,'Weekly Increments'!$F:$F,"approved")</f>
        <v/>
      </c>
      <c r="D12" s="13">
        <f>SUMIFS('Weekly Increments'!$T:$T,'Weekly Increments'!$F:$F,"approved")</f>
        <v/>
      </c>
    </row>
    <row r="13">
      <c r="A13" s="2" t="inlineStr">
        <is>
          <t>realistic mixed-seniority</t>
        </is>
      </c>
      <c r="B13" s="13">
        <f>SUMIFS('Weekly Increments'!$U:$U,'Weekly Increments'!$F:$F,"approved")</f>
        <v/>
      </c>
      <c r="C13" s="13">
        <f>SUMIFS('Weekly Increments'!$V:$V,'Weekly Increments'!$F:$F,"approved")</f>
        <v/>
      </c>
      <c r="D13" s="13">
        <f>SUMIFS('Weekly Increments'!$W:$W,'Weekly Increments'!$F:$F,"approved")</f>
        <v/>
      </c>
    </row>
    <row r="14">
      <c r="A14" s="2" t="inlineStr">
        <is>
          <t>premium / agency</t>
        </is>
      </c>
      <c r="B14" s="13">
        <f>SUMIFS('Weekly Increments'!$X:$X,'Weekly Increments'!$F:$F,"approved")</f>
        <v/>
      </c>
      <c r="C14" s="13">
        <f>SUMIFS('Weekly Increments'!$Y:$Y,'Weekly Increments'!$F:$F,"approved")</f>
        <v/>
      </c>
      <c r="D14" s="13">
        <f>SUMIFS('Weekly Increments'!$Z:$Z,'Weekly Increments'!$F:$F,"approved")</f>
        <v/>
      </c>
    </row>
    <row r="17">
      <c r="A17" s="24" t="inlineStr">
        <is>
          <t>Current cumulative estimate</t>
        </is>
      </c>
    </row>
    <row r="18">
      <c r="A18" s="1" t="inlineStr">
        <is>
          <t>lens</t>
        </is>
      </c>
      <c r="B18" s="1" t="inlineStr">
        <is>
          <t>cumulative_low</t>
        </is>
      </c>
      <c r="C18" s="1" t="inlineStr">
        <is>
          <t>cumulative_base</t>
        </is>
      </c>
      <c r="D18" s="1" t="inlineStr">
        <is>
          <t>cumulative_high</t>
        </is>
      </c>
    </row>
    <row r="19">
      <c r="A19" s="2" t="inlineStr">
        <is>
          <t>lean / low-cost</t>
        </is>
      </c>
      <c r="B19" s="13">
        <f>B5+B12</f>
        <v/>
      </c>
      <c r="C19" s="13">
        <f>C5+C12</f>
        <v/>
      </c>
      <c r="D19" s="13">
        <f>D5+D12</f>
        <v/>
      </c>
    </row>
    <row r="20">
      <c r="A20" s="2" t="inlineStr">
        <is>
          <t>realistic mixed-seniority</t>
        </is>
      </c>
      <c r="B20" s="13">
        <f>B6+B13</f>
        <v/>
      </c>
      <c r="C20" s="13">
        <f>C6+C13</f>
        <v/>
      </c>
      <c r="D20" s="13">
        <f>D6+D13</f>
        <v/>
      </c>
    </row>
    <row r="21">
      <c r="A21" s="2" t="inlineStr">
        <is>
          <t>premium / agency</t>
        </is>
      </c>
      <c r="B21" s="13">
        <f>B7+B14</f>
        <v/>
      </c>
      <c r="C21" s="13">
        <f>C7+C14</f>
        <v/>
      </c>
      <c r="D21" s="13">
        <f>D7+D14</f>
        <v/>
      </c>
    </row>
    <row r="24">
      <c r="A24" s="24" t="inlineStr">
        <is>
          <t>Monthly continuation assumptions</t>
        </is>
      </c>
    </row>
    <row r="25">
      <c r="A25" s="1" t="inlineStr">
        <is>
          <t>lens</t>
        </is>
      </c>
      <c r="B25" s="1" t="inlineStr">
        <is>
          <t>monthly_continuation_low</t>
        </is>
      </c>
      <c r="C25" s="1" t="inlineStr">
        <is>
          <t>monthly_continuation_base</t>
        </is>
      </c>
      <c r="D25" s="1" t="inlineStr">
        <is>
          <t>monthly_continuation_high</t>
        </is>
      </c>
    </row>
    <row r="26">
      <c r="A26" s="2" t="inlineStr">
        <is>
          <t>lean / low-cost</t>
        </is>
      </c>
      <c r="B26" s="13">
        <f>Assumptions!D8</f>
        <v/>
      </c>
      <c r="C26" s="13">
        <f>Assumptions!E8</f>
        <v/>
      </c>
      <c r="D26" s="13">
        <f>Assumptions!F8</f>
        <v/>
      </c>
    </row>
    <row r="27">
      <c r="A27" s="2" t="inlineStr">
        <is>
          <t>realistic mixed-seniority</t>
        </is>
      </c>
      <c r="B27" s="13">
        <f>Assumptions!D9</f>
        <v/>
      </c>
      <c r="C27" s="13">
        <f>Assumptions!E9</f>
        <v/>
      </c>
      <c r="D27" s="13">
        <f>Assumptions!F9</f>
        <v/>
      </c>
    </row>
    <row r="28">
      <c r="A28" s="2" t="inlineStr">
        <is>
          <t>premium / agency</t>
        </is>
      </c>
      <c r="B28" s="13">
        <f>Assumptions!D10</f>
        <v/>
      </c>
      <c r="C28" s="13">
        <f>Assumptions!E10</f>
        <v/>
      </c>
      <c r="D28" s="13">
        <f>Assumptions!F10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48" customWidth="1" min="4" max="4"/>
    <col width="42" customWidth="1" min="5" max="5"/>
    <col width="32" customWidth="1" min="6" max="6"/>
    <col width="12" customWidth="1" min="7" max="7"/>
    <col width="12" customWidth="1" min="8" max="8"/>
    <col width="36" customWidth="1" min="9" max="9"/>
  </cols>
  <sheetData>
    <row r="1">
      <c r="A1" s="1" t="inlineStr">
        <is>
          <t>week_ending</t>
        </is>
      </c>
      <c r="B1" s="1" t="inlineStr">
        <is>
          <t>workstream</t>
        </is>
      </c>
      <c r="C1" s="1" t="inlineStr">
        <is>
          <t>batch_title</t>
        </is>
      </c>
      <c r="D1" s="1" t="inlineStr">
        <is>
          <t>summary</t>
        </is>
      </c>
      <c r="E1" s="1" t="inlineStr">
        <is>
          <t>important_files</t>
        </is>
      </c>
      <c r="F1" s="1" t="inlineStr">
        <is>
          <t>important_update_notes</t>
        </is>
      </c>
      <c r="G1" s="1" t="inlineStr">
        <is>
          <t>impact_level</t>
        </is>
      </c>
      <c r="H1" s="1" t="inlineStr">
        <is>
          <t>confidence</t>
        </is>
      </c>
      <c r="I1" s="1" t="inlineStr">
        <is>
          <t>reviewer_note</t>
        </is>
      </c>
    </row>
    <row r="2">
      <c r="A2" s="26" t="n">
        <v>46102</v>
      </c>
      <c r="B2" s="10" t="inlineStr">
        <is>
          <t>Marketplace, search, discovery, and engagement</t>
        </is>
      </c>
      <c r="C2" s="10" t="inlineStr">
        <is>
          <t>Baseline valuation snapshot</t>
        </is>
      </c>
      <c r="D2" s="10" t="inlineStr">
        <is>
          <t>Explore, explore-v2, explore-labs, home, rails, saved, collections, trust cues, and conversion analytics.</t>
        </is>
      </c>
      <c r="E2" s="10" t="inlineStr">
        <is>
          <t>docs/product/BUILD_COST_BASELINE_REPORT_2026-03-21.md; docs/product/ROADMAP.md</t>
        </is>
      </c>
      <c r="F2" s="10" t="inlineStr">
        <is>
          <t>web/docs/updates/** (baseline evidence pool)</t>
        </is>
      </c>
      <c r="G2" s="10" t="inlineStr">
        <is>
          <t>Baseline</t>
        </is>
      </c>
      <c r="H2" s="10" t="inlineStr">
        <is>
          <t>Medium</t>
        </is>
      </c>
      <c r="I2" s="10" t="inlineStr">
        <is>
          <t>Seed entry for the starter ledger workbook.</t>
        </is>
      </c>
    </row>
    <row r="3">
      <c r="A3" s="26" t="n">
        <v>46102</v>
      </c>
      <c r="B3" s="10" t="inlineStr">
        <is>
          <t>Listings, host workflows, listing quality, and media</t>
        </is>
      </c>
      <c r="C3" s="10" t="inlineStr">
        <is>
          <t>Baseline valuation snapshot</t>
        </is>
      </c>
      <c r="D3" s="10" t="inlineStr">
        <is>
          <t>Listing create/edit/submit, quality guidance, demo controls, image/video delivery, and host properties manager.</t>
        </is>
      </c>
      <c r="E3" s="10" t="inlineStr">
        <is>
          <t>docs/product/BUILD_COST_BASELINE_REPORT_2026-03-21.md; docs/product/ROADMAP.md</t>
        </is>
      </c>
      <c r="F3" s="10" t="inlineStr">
        <is>
          <t>web/docs/updates/** (baseline evidence pool)</t>
        </is>
      </c>
      <c r="G3" s="10" t="inlineStr">
        <is>
          <t>Baseline</t>
        </is>
      </c>
      <c r="H3" s="10" t="inlineStr">
        <is>
          <t>High</t>
        </is>
      </c>
      <c r="I3" s="10" t="inlineStr">
        <is>
          <t>Seed entry for the starter ledger workbook.</t>
        </is>
      </c>
    </row>
    <row r="4">
      <c r="A4" s="26" t="n">
        <v>46102</v>
      </c>
      <c r="B4" s="10" t="inlineStr">
        <is>
          <t>Property Requests demand workflow</t>
        </is>
      </c>
      <c r="C4" s="10" t="inlineStr">
        <is>
          <t>Baseline valuation snapshot</t>
        </is>
      </c>
      <c r="D4" s="10" t="inlineStr">
        <is>
          <t>Tenant request creation, responder matching, admin registry, lifecycle management, telemetry, and notifications.</t>
        </is>
      </c>
      <c r="E4" s="10" t="inlineStr">
        <is>
          <t>docs/product/BUILD_COST_BASELINE_REPORT_2026-03-21.md; docs/product/ROADMAP.md</t>
        </is>
      </c>
      <c r="F4" s="10" t="inlineStr">
        <is>
          <t>web/docs/updates/** (baseline evidence pool)</t>
        </is>
      </c>
      <c r="G4" s="10" t="inlineStr">
        <is>
          <t>Baseline</t>
        </is>
      </c>
      <c r="H4" s="10" t="inlineStr">
        <is>
          <t>High</t>
        </is>
      </c>
      <c r="I4" s="10" t="inlineStr">
        <is>
          <t>Seed entry for the starter ledger workbook.</t>
        </is>
      </c>
    </row>
    <row r="5">
      <c r="A5" s="26" t="n">
        <v>46102</v>
      </c>
      <c r="B5" s="10" t="inlineStr">
        <is>
          <t>Admin tooling, support, analytics, and operator surfaces</t>
        </is>
      </c>
      <c r="C5" s="10" t="inlineStr">
        <is>
          <t>Baseline valuation snapshot</t>
        </is>
      </c>
      <c r="D5" s="10" t="inlineStr">
        <is>
          <t>Review desk, support inbox, analytics, diagnostics, settings, and operator-facing admin workflows.</t>
        </is>
      </c>
      <c r="E5" s="10" t="inlineStr">
        <is>
          <t>docs/product/BUILD_COST_BASELINE_REPORT_2026-03-21.md; docs/product/ROADMAP.md</t>
        </is>
      </c>
      <c r="F5" s="10" t="inlineStr">
        <is>
          <t>web/docs/updates/** (baseline evidence pool)</t>
        </is>
      </c>
      <c r="G5" s="10" t="inlineStr">
        <is>
          <t>Baseline</t>
        </is>
      </c>
      <c r="H5" s="10" t="inlineStr">
        <is>
          <t>High</t>
        </is>
      </c>
      <c r="I5" s="10" t="inlineStr">
        <is>
          <t>Seed entry for the starter ledger workbook.</t>
        </is>
      </c>
    </row>
    <row r="6">
      <c r="A6" s="26" t="n">
        <v>46102</v>
      </c>
      <c r="B6" s="10" t="inlineStr">
        <is>
          <t>Billing, payments, monetisation, and cutover preparation</t>
        </is>
      </c>
      <c r="C6" s="10" t="inlineStr">
        <is>
          <t>Baseline valuation snapshot</t>
        </is>
      </c>
      <c r="D6" s="10" t="inlineStr">
        <is>
          <t>Subscriptions, PAYG lanes, provider routing, reconcile flows, featured payments, and cutover readiness.</t>
        </is>
      </c>
      <c r="E6" s="10" t="inlineStr">
        <is>
          <t>docs/product/BUILD_COST_BASELINE_REPORT_2026-03-21.md; docs/product/ROADMAP.md</t>
        </is>
      </c>
      <c r="F6" s="10" t="inlineStr">
        <is>
          <t>web/docs/updates/** (baseline evidence pool)</t>
        </is>
      </c>
      <c r="G6" s="10" t="inlineStr">
        <is>
          <t>Baseline</t>
        </is>
      </c>
      <c r="H6" s="10" t="inlineStr">
        <is>
          <t>High</t>
        </is>
      </c>
      <c r="I6" s="10" t="inlineStr">
        <is>
          <t>Seed entry for the starter ledger workbook.</t>
        </is>
      </c>
    </row>
    <row r="7">
      <c r="A7" s="26" t="n">
        <v>46102</v>
      </c>
      <c r="B7" s="10" t="inlineStr">
        <is>
          <t>Shortlets product lane</t>
        </is>
      </c>
      <c r="C7" s="10" t="inlineStr">
        <is>
          <t>Baseline valuation snapshot</t>
        </is>
      </c>
      <c r="D7" s="10" t="inlineStr">
        <is>
          <t>Shortlet discovery, map/filter UX, bookings, checkout, payments, reminders, trips, and host ops.</t>
        </is>
      </c>
      <c r="E7" s="10" t="inlineStr">
        <is>
          <t>docs/product/BUILD_COST_BASELINE_REPORT_2026-03-21.md; docs/product/ROADMAP.md</t>
        </is>
      </c>
      <c r="F7" s="10" t="inlineStr">
        <is>
          <t>web/docs/updates/** (baseline evidence pool)</t>
        </is>
      </c>
      <c r="G7" s="10" t="inlineStr">
        <is>
          <t>Baseline</t>
        </is>
      </c>
      <c r="H7" s="10" t="inlineStr">
        <is>
          <t>Medium</t>
        </is>
      </c>
      <c r="I7" s="10" t="inlineStr">
        <is>
          <t>Seed entry for the starter ledger workbook.</t>
        </is>
      </c>
    </row>
    <row r="8">
      <c r="A8" s="26" t="n">
        <v>46102</v>
      </c>
      <c r="B8" s="10" t="inlineStr">
        <is>
          <t>Docs, help, training, and admin runbooks</t>
        </is>
      </c>
      <c r="C8" s="10" t="inlineStr">
        <is>
          <t>Baseline valuation snapshot</t>
        </is>
      </c>
      <c r="D8" s="10" t="inlineStr">
        <is>
          <t>Role help docs, admin runbooks, audit documents, and update-note discipline.</t>
        </is>
      </c>
      <c r="E8" s="10" t="inlineStr">
        <is>
          <t>docs/product/BUILD_COST_BASELINE_REPORT_2026-03-21.md; docs/product/ROADMAP.md</t>
        </is>
      </c>
      <c r="F8" s="10" t="inlineStr">
        <is>
          <t>web/docs/updates/** (baseline evidence pool)</t>
        </is>
      </c>
      <c r="G8" s="10" t="inlineStr">
        <is>
          <t>Baseline</t>
        </is>
      </c>
      <c r="H8" s="10" t="inlineStr">
        <is>
          <t>High</t>
        </is>
      </c>
      <c r="I8" s="10" t="inlineStr">
        <is>
          <t>Seed entry for the starter ledger workbook.</t>
        </is>
      </c>
    </row>
    <row r="9">
      <c r="A9" s="26" t="n">
        <v>46102</v>
      </c>
      <c r="B9" s="10" t="inlineStr">
        <is>
          <t>Stability, release gates, PWA, CI, migrations, and automation ops</t>
        </is>
      </c>
      <c r="C9" s="10" t="inlineStr">
        <is>
          <t>Baseline valuation snapshot</t>
        </is>
      </c>
      <c r="D9" s="10" t="inlineStr">
        <is>
          <t>Go-live stabilization, PWA hardening, CI/release health, migration guards, and automation ops docs.</t>
        </is>
      </c>
      <c r="E9" s="10" t="inlineStr">
        <is>
          <t>docs/product/BUILD_COST_BASELINE_REPORT_2026-03-21.md; docs/product/ROADMAP.md</t>
        </is>
      </c>
      <c r="F9" s="10" t="inlineStr">
        <is>
          <t>web/docs/updates/** (baseline evidence pool)</t>
        </is>
      </c>
      <c r="G9" s="10" t="inlineStr">
        <is>
          <t>Baseline</t>
        </is>
      </c>
      <c r="H9" s="10" t="inlineStr">
        <is>
          <t>Medium</t>
        </is>
      </c>
      <c r="I9" s="10" t="inlineStr">
        <is>
          <t>Seed entry for the starter ledger workbook.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34" customWidth="1" min="4" max="4"/>
    <col width="16" customWidth="1" min="5" max="5"/>
    <col width="60" customWidth="1" min="6" max="6"/>
    <col width="16" customWidth="1" min="7" max="7"/>
    <col width="36" customWidth="1" min="8" max="8"/>
  </cols>
  <sheetData>
    <row r="1">
      <c r="A1" s="23" t="inlineStr">
        <is>
          <t>Build Cost Ledger v1 notes and operating guidance</t>
        </is>
      </c>
    </row>
    <row r="3">
      <c r="A3" t="inlineStr">
        <is>
          <t>This workbook is a build-cost valuation model, not audited spend or business valuation.</t>
        </is>
      </c>
    </row>
    <row r="4">
      <c r="A4" t="inlineStr">
        <is>
          <t>This starter workbook uses the six-tab operating layout requested for this batch. README-style usage notes are embedded here instead of a separate README tab.</t>
        </is>
      </c>
    </row>
    <row r="5">
      <c r="A5" t="inlineStr">
        <is>
          <t>Weekly increments should stay review-based. Do not silently append approved rows without human review.</t>
        </is>
      </c>
    </row>
    <row r="7">
      <c r="A7" s="1" t="inlineStr">
        <is>
          <t>date</t>
        </is>
      </c>
      <c r="B7" s="1" t="inlineStr">
        <is>
          <t>entry_type</t>
        </is>
      </c>
      <c r="C7" s="1" t="inlineStr">
        <is>
          <t>lens</t>
        </is>
      </c>
      <c r="D7" s="1" t="inlineStr">
        <is>
          <t>workstream</t>
        </is>
      </c>
      <c r="E7" s="1" t="inlineStr">
        <is>
          <t>confidence_change</t>
        </is>
      </c>
      <c r="F7" s="1" t="inlineStr">
        <is>
          <t>reason</t>
        </is>
      </c>
      <c r="G7" s="1" t="inlineStr">
        <is>
          <t>owner</t>
        </is>
      </c>
      <c r="H7" s="1" t="inlineStr">
        <is>
          <t>follow_up</t>
        </is>
      </c>
    </row>
    <row r="8">
      <c r="A8" s="26" t="n">
        <v>46102</v>
      </c>
      <c r="B8" s="10" t="inlineStr">
        <is>
          <t>model_warning</t>
        </is>
      </c>
      <c r="C8" s="10" t="inlineStr">
        <is>
          <t>all</t>
        </is>
      </c>
      <c r="D8" s="10" t="inlineStr">
        <is>
          <t>all</t>
        </is>
      </c>
      <c r="E8" s="10" t="inlineStr">
        <is>
          <t>n/a</t>
        </is>
      </c>
      <c r="F8" s="10" t="inlineStr">
        <is>
          <t>The workbook values estimate reproduction cost from repo truth and should not be presented as cash spent.</t>
        </is>
      </c>
      <c r="G8" s="10" t="inlineStr">
        <is>
          <t>Codex</t>
        </is>
      </c>
      <c r="H8" s="10" t="inlineStr">
        <is>
          <t>Keep stakeholder summaries explicit about the model limits.</t>
        </is>
      </c>
    </row>
    <row r="9">
      <c r="A9" s="26" t="n">
        <v>46102</v>
      </c>
      <c r="B9" s="10" t="inlineStr">
        <is>
          <t>baseline_note</t>
        </is>
      </c>
      <c r="C9" s="10" t="inlineStr">
        <is>
          <t>realistic mixed-seniority</t>
        </is>
      </c>
      <c r="D9" s="10" t="inlineStr">
        <is>
          <t>all</t>
        </is>
      </c>
      <c r="E9" s="10" t="inlineStr">
        <is>
          <t>High</t>
        </is>
      </c>
      <c r="F9" s="10" t="inlineStr">
        <is>
          <t>Central working figure is about £410,000 and should remain the default stakeholder number unless the method changes.</t>
        </is>
      </c>
      <c r="G9" s="10" t="inlineStr">
        <is>
          <t>Codex</t>
        </is>
      </c>
      <c r="H9" s="10" t="inlineStr">
        <is>
          <t>Review only if the methodology doc changes.</t>
        </is>
      </c>
    </row>
    <row r="10">
      <c r="A10" s="26" t="n">
        <v>46102</v>
      </c>
      <c r="B10" s="10" t="inlineStr">
        <is>
          <t>workbook_structure</t>
        </is>
      </c>
      <c r="C10" s="10" t="inlineStr">
        <is>
          <t>all</t>
        </is>
      </c>
      <c r="D10" s="10" t="inlineStr">
        <is>
          <t>all</t>
        </is>
      </c>
      <c r="E10" s="10" t="inlineStr">
        <is>
          <t>Medium</t>
        </is>
      </c>
      <c r="F10" s="10" t="inlineStr">
        <is>
          <t>Weekly Increments starts with a draft template row. Approved totals in Cumulative Totals intentionally ignore non-approved rows.</t>
        </is>
      </c>
      <c r="G10" s="10" t="inlineStr">
        <is>
          <t>Codex</t>
        </is>
      </c>
      <c r="H10" s="10" t="inlineStr">
        <is>
          <t>Copy the template row for each new reviewed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2026-03-21T22:40:24Z</dcterms:created>
  <dcterms:modified xsi:type="dcterms:W3CDTF">2026-03-21T22:42:12Z</dcterms:modified>
</cp:coreProperties>
</file>